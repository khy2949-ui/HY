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강하영\"/>
    </mc:Choice>
  </mc:AlternateContent>
  <bookViews>
    <workbookView xWindow="0" yWindow="0" windowWidth="28800" windowHeight="12255"/>
  </bookViews>
  <sheets>
    <sheet name="A반" sheetId="1" r:id="rId1"/>
    <sheet name="B반" sheetId="2" r:id="rId2"/>
    <sheet name="1학년 과목별 총점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E12" i="1"/>
  <c r="F12" i="1"/>
  <c r="D12" i="1"/>
  <c r="D11" i="1"/>
  <c r="D4" i="3"/>
  <c r="C4" i="3"/>
  <c r="B4" i="3"/>
  <c r="F9" i="1"/>
  <c r="E9" i="1"/>
  <c r="D9" i="1"/>
  <c r="F10" i="2"/>
  <c r="E10" i="2"/>
  <c r="D10" i="2"/>
  <c r="F9" i="2"/>
  <c r="E9" i="2"/>
  <c r="D9" i="2"/>
  <c r="F10" i="1"/>
  <c r="E10" i="1"/>
  <c r="D10" i="1"/>
  <c r="I8" i="2"/>
  <c r="H8" i="2"/>
  <c r="G8" i="2"/>
  <c r="H7" i="2"/>
  <c r="I7" i="2" s="1"/>
  <c r="G7" i="2"/>
  <c r="H6" i="2"/>
  <c r="I6" i="2" s="1"/>
  <c r="G6" i="2"/>
  <c r="H5" i="2"/>
  <c r="I5" i="2" s="1"/>
  <c r="G5" i="2"/>
  <c r="H4" i="2"/>
  <c r="G4" i="2"/>
  <c r="H10" i="1"/>
  <c r="I5" i="1"/>
  <c r="I6" i="1"/>
  <c r="I8" i="1"/>
  <c r="I4" i="1"/>
  <c r="G7" i="1"/>
  <c r="H7" i="1"/>
  <c r="I7" i="1" s="1"/>
  <c r="G8" i="1"/>
  <c r="H8" i="1"/>
  <c r="G6" i="1"/>
  <c r="H6" i="1"/>
  <c r="G5" i="1"/>
  <c r="H5" i="1"/>
  <c r="H4" i="1"/>
  <c r="G4" i="1"/>
  <c r="H10" i="2" l="1"/>
  <c r="I4" i="2"/>
</calcChain>
</file>

<file path=xl/sharedStrings.xml><?xml version="1.0" encoding="utf-8"?>
<sst xmlns="http://schemas.openxmlformats.org/spreadsheetml/2006/main" count="36" uniqueCount="20">
  <si>
    <t>이름</t>
    <phoneticPr fontId="1" type="noConversion"/>
  </si>
  <si>
    <t>국어</t>
    <phoneticPr fontId="1" type="noConversion"/>
  </si>
  <si>
    <t>영어</t>
    <phoneticPr fontId="1" type="noConversion"/>
  </si>
  <si>
    <t>총점</t>
    <phoneticPr fontId="1" type="noConversion"/>
  </si>
  <si>
    <t>평균</t>
    <phoneticPr fontId="1" type="noConversion"/>
  </si>
  <si>
    <t>학점</t>
    <phoneticPr fontId="1" type="noConversion"/>
  </si>
  <si>
    <t>수학</t>
    <phoneticPr fontId="1" type="noConversion"/>
  </si>
  <si>
    <t>홍길동</t>
    <phoneticPr fontId="1" type="noConversion"/>
  </si>
  <si>
    <t>A 반 성적표</t>
    <phoneticPr fontId="1" type="noConversion"/>
  </si>
  <si>
    <t>박보검</t>
    <phoneticPr fontId="1" type="noConversion"/>
  </si>
  <si>
    <t>이해진</t>
    <phoneticPr fontId="1" type="noConversion"/>
  </si>
  <si>
    <t>김일순</t>
    <phoneticPr fontId="1" type="noConversion"/>
  </si>
  <si>
    <t>홍길순</t>
    <phoneticPr fontId="1" type="noConversion"/>
  </si>
  <si>
    <t>반 평균</t>
    <phoneticPr fontId="1" type="noConversion"/>
  </si>
  <si>
    <t>B 반 성적표</t>
    <phoneticPr fontId="1" type="noConversion"/>
  </si>
  <si>
    <t>과목총점</t>
    <phoneticPr fontId="1" type="noConversion"/>
  </si>
  <si>
    <t>과목평균</t>
    <phoneticPr fontId="1" type="noConversion"/>
  </si>
  <si>
    <t>과목 총점</t>
    <phoneticPr fontId="1" type="noConversion"/>
  </si>
  <si>
    <t>과목 평균</t>
    <phoneticPr fontId="1" type="noConversion"/>
  </si>
  <si>
    <t>1학년 과목별 총점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</si>
</sst>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Fill="1" applyBorder="1">
      <alignment vertical="center"/>
    </xf>
    <xf numFmtId="0" fontId="0" fillId="0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2"/>
  <sheetViews>
    <sheetView tabSelected="1" workbookViewId="0">
      <selection activeCell="J16" sqref="J16"/>
    </sheetView>
  </sheetViews>
  <sheetFormatPr defaultRowHeight="16.5" x14ac:dyDescent="0.3"/>
  <sheetData>
    <row r="1" spans="3:9" ht="24" customHeight="1" x14ac:dyDescent="0.3">
      <c r="C1" s="4" t="s">
        <v>8</v>
      </c>
      <c r="D1" s="4"/>
      <c r="E1" s="4"/>
      <c r="F1" s="4"/>
      <c r="G1" s="4"/>
      <c r="H1" s="4"/>
      <c r="I1" s="4"/>
    </row>
    <row r="3" spans="3:9" x14ac:dyDescent="0.3">
      <c r="C3" s="5" t="s">
        <v>0</v>
      </c>
      <c r="D3" s="5" t="s">
        <v>1</v>
      </c>
      <c r="E3" s="5" t="s">
        <v>2</v>
      </c>
      <c r="F3" s="5" t="s">
        <v>6</v>
      </c>
      <c r="G3" s="5" t="s">
        <v>3</v>
      </c>
      <c r="H3" s="5" t="s">
        <v>4</v>
      </c>
      <c r="I3" s="5" t="s">
        <v>5</v>
      </c>
    </row>
    <row r="4" spans="3:9" x14ac:dyDescent="0.3">
      <c r="C4" s="6" t="s">
        <v>7</v>
      </c>
      <c r="D4" s="1">
        <v>90</v>
      </c>
      <c r="E4" s="1">
        <v>100</v>
      </c>
      <c r="F4" s="1">
        <v>100</v>
      </c>
      <c r="G4" s="1">
        <f>SUM(D4:F4)</f>
        <v>290</v>
      </c>
      <c r="H4" s="2">
        <f>AVERAGE(D4:F4)</f>
        <v>96.666666666666671</v>
      </c>
      <c r="I4" s="6" t="str">
        <f>IF(H4&gt;=90,"A",IF(H4&gt;=80,"B",IF(H4&gt;=70,"C",IF(H4&gt;=60,"D","F"))))</f>
        <v>A</v>
      </c>
    </row>
    <row r="5" spans="3:9" x14ac:dyDescent="0.3">
      <c r="C5" s="6" t="s">
        <v>9</v>
      </c>
      <c r="D5" s="1">
        <v>90</v>
      </c>
      <c r="E5" s="1">
        <v>45</v>
      </c>
      <c r="F5" s="1">
        <v>50</v>
      </c>
      <c r="G5" s="1">
        <f>SUM(D5:F5)</f>
        <v>185</v>
      </c>
      <c r="H5" s="2">
        <f>AVERAGE(D5:F5)</f>
        <v>61.666666666666664</v>
      </c>
      <c r="I5" s="6" t="str">
        <f t="shared" ref="I5:I8" si="0">IF(H5&gt;=90,"A",IF(H5&gt;=80,"B",IF(H5&gt;=70,"C",IF(H5&gt;=60,"D","F"))))</f>
        <v>D</v>
      </c>
    </row>
    <row r="6" spans="3:9" x14ac:dyDescent="0.3">
      <c r="C6" s="6" t="s">
        <v>10</v>
      </c>
      <c r="D6" s="1">
        <v>70</v>
      </c>
      <c r="E6" s="1">
        <v>70</v>
      </c>
      <c r="F6" s="1">
        <v>80</v>
      </c>
      <c r="G6" s="1">
        <f>SUM(D6:F6)</f>
        <v>220</v>
      </c>
      <c r="H6" s="2">
        <f>AVERAGE(D6:F6)</f>
        <v>73.333333333333329</v>
      </c>
      <c r="I6" s="6" t="str">
        <f t="shared" si="0"/>
        <v>C</v>
      </c>
    </row>
    <row r="7" spans="3:9" x14ac:dyDescent="0.3">
      <c r="C7" s="6" t="s">
        <v>11</v>
      </c>
      <c r="D7" s="1">
        <v>60</v>
      </c>
      <c r="E7" s="1">
        <v>100</v>
      </c>
      <c r="F7" s="1">
        <v>80</v>
      </c>
      <c r="G7" s="1">
        <f t="shared" ref="G7:G8" si="1">SUM(D7:F7)</f>
        <v>240</v>
      </c>
      <c r="H7" s="2">
        <f t="shared" ref="H7:H8" si="2">AVERAGE(D7:F7)</f>
        <v>80</v>
      </c>
      <c r="I7" s="6" t="str">
        <f t="shared" si="0"/>
        <v>B</v>
      </c>
    </row>
    <row r="8" spans="3:9" x14ac:dyDescent="0.3">
      <c r="C8" s="6" t="s">
        <v>12</v>
      </c>
      <c r="D8" s="1">
        <v>50</v>
      </c>
      <c r="E8" s="1">
        <v>52</v>
      </c>
      <c r="F8" s="1">
        <v>41</v>
      </c>
      <c r="G8" s="1">
        <f t="shared" si="1"/>
        <v>143</v>
      </c>
      <c r="H8" s="2">
        <f t="shared" si="2"/>
        <v>47.666666666666664</v>
      </c>
      <c r="I8" s="6" t="str">
        <f t="shared" si="0"/>
        <v>F</v>
      </c>
    </row>
    <row r="9" spans="3:9" x14ac:dyDescent="0.3">
      <c r="C9" s="8" t="s">
        <v>15</v>
      </c>
      <c r="D9" s="1">
        <f>SUM(D4:D8)</f>
        <v>360</v>
      </c>
      <c r="E9" s="1">
        <f>SUM(E4:E8)</f>
        <v>367</v>
      </c>
      <c r="F9" s="1">
        <f>SUM(F4:F8)</f>
        <v>351</v>
      </c>
    </row>
    <row r="10" spans="3:9" x14ac:dyDescent="0.3">
      <c r="C10" s="8" t="s">
        <v>16</v>
      </c>
      <c r="D10" s="1">
        <f>AVERAGE(D4:D8)</f>
        <v>72</v>
      </c>
      <c r="E10" s="1">
        <f>AVERAGE(E4:E8)</f>
        <v>73.400000000000006</v>
      </c>
      <c r="F10" s="1">
        <f>AVERAGE(F4:F8)</f>
        <v>70.2</v>
      </c>
      <c r="G10" t="s">
        <v>13</v>
      </c>
      <c r="H10" s="7">
        <f>AVERAGE(H4:H8)</f>
        <v>71.866666666666674</v>
      </c>
    </row>
    <row r="11" spans="3:9" x14ac:dyDescent="0.3">
      <c r="D11">
        <f>MAX(D4:D8)</f>
        <v>90</v>
      </c>
      <c r="E11">
        <f t="shared" ref="E11:F11" si="3">MAX(E4:E8)</f>
        <v>100</v>
      </c>
      <c r="F11">
        <f t="shared" si="3"/>
        <v>100</v>
      </c>
    </row>
    <row r="12" spans="3:9" x14ac:dyDescent="0.3">
      <c r="D12">
        <f>MIN(D4:D8)</f>
        <v>50</v>
      </c>
      <c r="E12">
        <f t="shared" ref="E12:F12" si="4">MIN(E4:E8)</f>
        <v>45</v>
      </c>
      <c r="F12">
        <f t="shared" si="4"/>
        <v>41</v>
      </c>
    </row>
  </sheetData>
  <mergeCells count="1">
    <mergeCell ref="C1:I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"/>
  <sheetViews>
    <sheetView workbookViewId="0">
      <selection activeCell="F6" sqref="F6"/>
    </sheetView>
  </sheetViews>
  <sheetFormatPr defaultRowHeight="16.5" x14ac:dyDescent="0.3"/>
  <sheetData>
    <row r="1" spans="3:9" ht="24" customHeight="1" x14ac:dyDescent="0.3">
      <c r="C1" s="4" t="s">
        <v>14</v>
      </c>
      <c r="D1" s="4"/>
      <c r="E1" s="4"/>
      <c r="F1" s="4"/>
      <c r="G1" s="4"/>
      <c r="H1" s="4"/>
      <c r="I1" s="4"/>
    </row>
    <row r="3" spans="3:9" x14ac:dyDescent="0.3">
      <c r="C3" s="5" t="s">
        <v>0</v>
      </c>
      <c r="D3" s="5" t="s">
        <v>1</v>
      </c>
      <c r="E3" s="5" t="s">
        <v>2</v>
      </c>
      <c r="F3" s="5" t="s">
        <v>6</v>
      </c>
      <c r="G3" s="5" t="s">
        <v>3</v>
      </c>
      <c r="H3" s="5" t="s">
        <v>4</v>
      </c>
      <c r="I3" s="5" t="s">
        <v>5</v>
      </c>
    </row>
    <row r="4" spans="3:9" x14ac:dyDescent="0.3">
      <c r="C4" s="6" t="s">
        <v>7</v>
      </c>
      <c r="D4" s="1">
        <v>90</v>
      </c>
      <c r="E4" s="1">
        <v>78</v>
      </c>
      <c r="F4" s="1">
        <v>85</v>
      </c>
      <c r="G4" s="1">
        <f>SUM(D4:F4)</f>
        <v>253</v>
      </c>
      <c r="H4" s="2">
        <f>AVERAGE(D4:F4)</f>
        <v>84.333333333333329</v>
      </c>
      <c r="I4" s="6" t="str">
        <f>IF(H4&gt;=90,"A",IF(H4&gt;=80,"B",IF(H4&gt;=70,"C",IF(H4&gt;=60,"D","F"))))</f>
        <v>B</v>
      </c>
    </row>
    <row r="5" spans="3:9" x14ac:dyDescent="0.3">
      <c r="C5" s="6" t="s">
        <v>9</v>
      </c>
      <c r="D5" s="1">
        <v>90</v>
      </c>
      <c r="E5" s="1">
        <v>45</v>
      </c>
      <c r="F5" s="1">
        <v>100</v>
      </c>
      <c r="G5" s="1">
        <f>SUM(D5:F5)</f>
        <v>235</v>
      </c>
      <c r="H5" s="2">
        <f>AVERAGE(D5:F5)</f>
        <v>78.333333333333329</v>
      </c>
      <c r="I5" s="6" t="str">
        <f t="shared" ref="I5:I8" si="0">IF(H5&gt;=90,"A",IF(H5&gt;=80,"B",IF(H5&gt;=70,"C",IF(H5&gt;=60,"D","F"))))</f>
        <v>C</v>
      </c>
    </row>
    <row r="6" spans="3:9" x14ac:dyDescent="0.3">
      <c r="C6" s="6" t="s">
        <v>10</v>
      </c>
      <c r="D6" s="1">
        <v>50</v>
      </c>
      <c r="E6" s="1">
        <v>60</v>
      </c>
      <c r="F6" s="1">
        <v>90</v>
      </c>
      <c r="G6" s="1">
        <f>SUM(D6:F6)</f>
        <v>200</v>
      </c>
      <c r="H6" s="2">
        <f>AVERAGE(D6:F6)</f>
        <v>66.666666666666671</v>
      </c>
      <c r="I6" s="6" t="str">
        <f t="shared" si="0"/>
        <v>D</v>
      </c>
    </row>
    <row r="7" spans="3:9" x14ac:dyDescent="0.3">
      <c r="C7" s="6" t="s">
        <v>11</v>
      </c>
      <c r="D7" s="1">
        <v>60</v>
      </c>
      <c r="E7" s="1">
        <v>80</v>
      </c>
      <c r="F7" s="1">
        <v>40</v>
      </c>
      <c r="G7" s="1">
        <f t="shared" ref="G7:G8" si="1">SUM(D7:F7)</f>
        <v>180</v>
      </c>
      <c r="H7" s="2">
        <f t="shared" ref="H7:H8" si="2">AVERAGE(D7:F7)</f>
        <v>60</v>
      </c>
      <c r="I7" s="6" t="str">
        <f t="shared" si="0"/>
        <v>D</v>
      </c>
    </row>
    <row r="8" spans="3:9" x14ac:dyDescent="0.3">
      <c r="C8" s="6" t="s">
        <v>12</v>
      </c>
      <c r="D8" s="1">
        <v>50</v>
      </c>
      <c r="E8" s="1">
        <v>52</v>
      </c>
      <c r="F8" s="1">
        <v>41</v>
      </c>
      <c r="G8" s="1">
        <f t="shared" si="1"/>
        <v>143</v>
      </c>
      <c r="H8" s="2">
        <f t="shared" si="2"/>
        <v>47.666666666666664</v>
      </c>
      <c r="I8" s="6" t="str">
        <f t="shared" si="0"/>
        <v>F</v>
      </c>
    </row>
    <row r="9" spans="3:9" x14ac:dyDescent="0.3">
      <c r="C9" s="8" t="s">
        <v>17</v>
      </c>
      <c r="D9">
        <f>SUM(D4:D8)</f>
        <v>340</v>
      </c>
      <c r="E9">
        <f>SUM(E4:E8)</f>
        <v>315</v>
      </c>
      <c r="F9">
        <f>SUM(F4:F8)</f>
        <v>356</v>
      </c>
    </row>
    <row r="10" spans="3:9" x14ac:dyDescent="0.3">
      <c r="C10" s="8" t="s">
        <v>18</v>
      </c>
      <c r="D10">
        <f>AVERAGE(D4:D8)</f>
        <v>68</v>
      </c>
      <c r="E10">
        <f>AVERAGE(E4:E8)</f>
        <v>63</v>
      </c>
      <c r="F10">
        <f>AVERAGE(F4:F8)</f>
        <v>71.2</v>
      </c>
      <c r="G10" t="s">
        <v>13</v>
      </c>
      <c r="H10" s="7">
        <f>AVERAGE(H4:H8)</f>
        <v>67.400000000000006</v>
      </c>
    </row>
  </sheetData>
  <mergeCells count="1">
    <mergeCell ref="C1:I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Views>
    <sheetView workbookViewId="0">
      <selection activeCell="E29" sqref="E29"/>
    </sheetView>
  </sheetViews>
  <sheetFormatPr defaultRowHeight="16.5" x14ac:dyDescent="0.3"/>
  <cols>
    <col min="2" max="2" width="9" customWidth="1"/>
  </cols>
  <sheetData>
    <row r="2" spans="2:4" x14ac:dyDescent="0.3">
      <c r="B2" s="3" t="s">
        <v>19</v>
      </c>
      <c r="C2" s="3"/>
      <c r="D2" s="3"/>
    </row>
    <row r="3" spans="2:4" x14ac:dyDescent="0.3">
      <c r="B3" s="6" t="s">
        <v>1</v>
      </c>
      <c r="C3" s="6" t="s">
        <v>2</v>
      </c>
      <c r="D3" s="6" t="s">
        <v>6</v>
      </c>
    </row>
    <row r="4" spans="2:4" x14ac:dyDescent="0.3">
      <c r="B4" s="1">
        <f>A반!D9+B반!D9</f>
        <v>700</v>
      </c>
      <c r="C4" s="1">
        <f>A반!E9+B반!E9</f>
        <v>682</v>
      </c>
      <c r="D4" s="1">
        <f>A반!F9+B반!F9</f>
        <v>707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A반</vt:lpstr>
      <vt:lpstr>B반</vt:lpstr>
      <vt:lpstr>1학년 과목별 총점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2025-12-19T06:46:14Z</dcterms:created>
  <dcterms:modified xsi:type="dcterms:W3CDTF">2025-12-19T07:29:11Z</dcterms:modified>
</cp:coreProperties>
</file>